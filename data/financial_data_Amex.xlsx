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barbiejindal/Desktop/"/>
    </mc:Choice>
  </mc:AlternateContent>
  <xr:revisionPtr revIDLastSave="0" documentId="8_{22D78774-8724-9E4F-B776-B380E8FD0A6B}" xr6:coauthVersionLast="47" xr6:coauthVersionMax="47" xr10:uidLastSave="{00000000-0000-0000-0000-000000000000}"/>
  <bookViews>
    <workbookView xWindow="0" yWindow="680" windowWidth="29400" windowHeight="17380" activeTab="3" xr2:uid="{BC5E361C-270E-9E47-BF08-D5A4113DAA05}"/>
  </bookViews>
  <sheets>
    <sheet name="statement of income" sheetId="1" r:id="rId1"/>
    <sheet name="revenues " sheetId="3" r:id="rId2"/>
    <sheet name="provisions " sheetId="4" r:id="rId3"/>
    <sheet name="expenses" sheetId="5" r:id="rId4"/>
    <sheet name="profit " sheetId="6" r:id="rId5"/>
    <sheet name="margin analysis " sheetId="7" r:id="rId6"/>
    <sheet name="Sheet2" sheetId="2" state="hidden" r:id="rId7"/>
    <sheet name="growth analysis " sheetId="8" r:id="rId8"/>
    <sheet name="kpi summary 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8" l="1"/>
  <c r="F9" i="3"/>
  <c r="B3" i="7"/>
  <c r="C5" i="7" a="1"/>
  <c r="C5" i="7" s="1"/>
  <c r="D5" i="7" a="1"/>
  <c r="D5" i="7" s="1"/>
  <c r="D2" i="11" s="1"/>
  <c r="F4" i="6"/>
  <c r="F3" i="6"/>
  <c r="F2" i="6"/>
  <c r="F2" i="5"/>
  <c r="F2" i="4"/>
  <c r="F2" i="3"/>
  <c r="F3" i="3"/>
  <c r="F4" i="3"/>
  <c r="F5" i="3"/>
  <c r="F6" i="3"/>
  <c r="F7" i="3"/>
  <c r="F8" i="3"/>
  <c r="E4" i="3"/>
  <c r="D2" i="7"/>
  <c r="B2" i="11" s="1"/>
  <c r="A2" i="11"/>
  <c r="C2" i="11"/>
  <c r="B5" i="7" a="1"/>
  <c r="B5" i="7" s="1"/>
  <c r="C4" i="7"/>
  <c r="E2" i="4"/>
  <c r="B13" i="8"/>
  <c r="B12" i="8"/>
  <c r="B8" i="8"/>
  <c r="D4" i="7"/>
  <c r="D3" i="7"/>
  <c r="B2" i="7"/>
  <c r="B4" i="7"/>
  <c r="C3" i="7"/>
  <c r="C2" i="7"/>
  <c r="E2" i="6"/>
  <c r="E4" i="6"/>
  <c r="E3" i="6"/>
  <c r="F8" i="5"/>
  <c r="F7" i="5"/>
  <c r="F6" i="5"/>
  <c r="F5" i="5"/>
  <c r="F4" i="5"/>
  <c r="F3" i="5"/>
  <c r="E2" i="5"/>
  <c r="E3" i="5"/>
  <c r="E4" i="5"/>
  <c r="E5" i="5"/>
  <c r="E6" i="5"/>
  <c r="E7" i="5"/>
  <c r="E8" i="5"/>
  <c r="E2" i="3"/>
  <c r="E3" i="3"/>
  <c r="E5" i="3"/>
  <c r="E6" i="3"/>
  <c r="E7" i="3"/>
  <c r="E8" i="3"/>
  <c r="E9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<sst xmlns="http://schemas.openxmlformats.org/spreadsheetml/2006/main" count="75" uniqueCount="50">
  <si>
    <t>Expenses</t>
  </si>
  <si>
    <t>Year</t>
  </si>
  <si>
    <t>Net Income</t>
  </si>
  <si>
    <t>Revenue</t>
  </si>
  <si>
    <t>Pretax Income</t>
  </si>
  <si>
    <t>Line Item</t>
  </si>
  <si>
    <t>Discount revenue</t>
  </si>
  <si>
    <t>Net card fees</t>
  </si>
  <si>
    <t>Total non-interest revenues</t>
  </si>
  <si>
    <t>Net interest income</t>
  </si>
  <si>
    <t>Service fees &amp; other revenue</t>
  </si>
  <si>
    <t>Interest income</t>
  </si>
  <si>
    <t>Interest expense</t>
  </si>
  <si>
    <t>Total revenues net of interest expense</t>
  </si>
  <si>
    <t>Provisions for credit losses</t>
  </si>
  <si>
    <t>Card Member rewards</t>
  </si>
  <si>
    <t>Business development</t>
  </si>
  <si>
    <t>Card Member services</t>
  </si>
  <si>
    <t>Marketing</t>
  </si>
  <si>
    <t>Salaries &amp; employee benefits</t>
  </si>
  <si>
    <t>Other, net</t>
  </si>
  <si>
    <t>Total expenses</t>
  </si>
  <si>
    <t>Pretax income</t>
  </si>
  <si>
    <t>Income tax provision</t>
  </si>
  <si>
    <t>Net income</t>
  </si>
  <si>
    <t>2023</t>
  </si>
  <si>
    <t>2024</t>
  </si>
  <si>
    <t>2025</t>
  </si>
  <si>
    <t>Column1</t>
  </si>
  <si>
    <t xml:space="preserve">yoy%24 </t>
  </si>
  <si>
    <t>yoy%2025</t>
  </si>
  <si>
    <t xml:space="preserve">yoy2024% </t>
  </si>
  <si>
    <t>yoy2025%</t>
  </si>
  <si>
    <t>yoy2024%</t>
  </si>
  <si>
    <t>Metric</t>
  </si>
  <si>
    <t>Net Margin</t>
  </si>
  <si>
    <t>Pretax Margin</t>
  </si>
  <si>
    <t>Expense Ratio</t>
  </si>
  <si>
    <t>Provision Ratio</t>
  </si>
  <si>
    <t>2024 Growth</t>
  </si>
  <si>
    <t>2025 Growth</t>
  </si>
  <si>
    <t>Revenue Growth</t>
  </si>
  <si>
    <t>Expense Growth</t>
  </si>
  <si>
    <t>Net Income Growth</t>
  </si>
  <si>
    <t xml:space="preserve">operating  leverage impact </t>
  </si>
  <si>
    <t xml:space="preserve">Profit conversion efficiency </t>
  </si>
  <si>
    <t>Revenue 2025</t>
  </si>
  <si>
    <t>Net Margin 2025</t>
  </si>
  <si>
    <t>Operating Leverage 2025</t>
  </si>
  <si>
    <t>Provision Ratio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</si>
</sst>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9" tint="-0.499984740745262"/>
      <name val="Times New Roman"/>
      <family val="1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3" fontId="4" fillId="0" borderId="0" xfId="0" applyNumberFormat="1" applyFont="1"/>
    <xf numFmtId="0" fontId="5" fillId="2" borderId="0" xfId="0" applyFont="1" applyFill="1"/>
    <xf numFmtId="10" fontId="0" fillId="0" borderId="0" xfId="0" applyNumberFormat="1"/>
    <xf numFmtId="10" fontId="3" fillId="0" borderId="0" xfId="0" applyNumberFormat="1" applyFont="1"/>
    <xf numFmtId="0" fontId="6" fillId="0" borderId="0" xfId="0" applyFont="1"/>
    <xf numFmtId="3" fontId="7" fillId="0" borderId="0" xfId="0" applyNumberFormat="1" applyFont="1"/>
    <xf numFmtId="10" fontId="8" fillId="0" borderId="0" xfId="0" applyNumberFormat="1" applyFont="1"/>
    <xf numFmtId="3" fontId="8" fillId="0" borderId="0" xfId="0" applyNumberFormat="1" applyFont="1"/>
    <xf numFmtId="0" fontId="8" fillId="0" borderId="0" xfId="0" applyFont="1"/>
    <xf numFmtId="0" fontId="1" fillId="3" borderId="0" xfId="0" applyFont="1" applyFill="1"/>
    <xf numFmtId="3" fontId="2" fillId="3" borderId="0" xfId="0" applyNumberFormat="1" applyFont="1" applyFill="1"/>
    <xf numFmtId="3" fontId="1" fillId="3" borderId="0" xfId="0" applyNumberFormat="1" applyFont="1" applyFill="1"/>
    <xf numFmtId="10" fontId="1" fillId="0" borderId="0" xfId="0" applyNumberFormat="1" applyFont="1"/>
    <xf numFmtId="0" fontId="7" fillId="0" borderId="0" xfId="0" applyFont="1"/>
    <xf numFmtId="10" fontId="7" fillId="0" borderId="0" xfId="0" applyNumberFormat="1" applyFont="1"/>
    <xf numFmtId="164" fontId="2" fillId="0" borderId="0" xfId="0" applyNumberFormat="1" applyFont="1"/>
    <xf numFmtId="10" fontId="2" fillId="0" borderId="0" xfId="0" applyNumberFormat="1" applyFont="1"/>
    <xf numFmtId="0" fontId="5" fillId="0" borderId="0" xfId="0" applyFont="1"/>
  </cellXfs>
  <cellStyles count="1">
    <cellStyle name="Normal" xfId="0" builtinId="0"/>
  </cellStyles>
  <dxfs count="80">
    <dxf>
      <font>
        <b/>
        <strike val="0"/>
        <outline val="0"/>
        <shadow val="0"/>
        <u val="none"/>
        <vertAlign val="baseline"/>
        <color theme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4" formatCode="&quot;$&quot;#,##0.00"/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4" formatCode="0.00%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theme="8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3" formatCode="#,##0"/>
    </dxf>
    <dxf>
      <font>
        <i val="0"/>
      </font>
    </dxf>
    <dxf>
      <font>
        <i val="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0B1B0F-10CB-1642-B915-9659293DF698}" name="Table6" displayName="Table6" ref="A1:E4" headerRowDxfId="79" dataDxfId="78">
  <autoFilter ref="A1:E4" xr:uid="{370B1B0F-10CB-1642-B915-9659293DF698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A67A66F-967F-0B46-9327-FE8919EDA0BA}" name="Year" totalsRowLabel="Total" dataDxfId="77"/>
    <tableColumn id="2" xr3:uid="{F1CA8986-6989-AC4F-B839-241581240C71}" name="Revenue" dataDxfId="76"/>
    <tableColumn id="3" xr3:uid="{72F4717B-3283-1D4C-9EF4-903AE8379ACE}" name="Expenses" dataDxfId="75" totalsRowDxfId="74"/>
    <tableColumn id="4" xr3:uid="{FD2028F3-A92C-E043-B594-A219573309CE}" name="Pretax Income" dataDxfId="73" totalsRowDxfId="72"/>
    <tableColumn id="5" xr3:uid="{7E41CC29-3621-6048-A38A-4840048EB467}" name="Net Income" totalsRowFunction="count" dataDxfId="71" totalsRowDxfId="70"/>
  </tableColumns>
  <tableStyleInfo showFirstColumn="1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FC5CA12-9145-2946-A122-2680264F6424}" name="Table5" displayName="Table5" ref="A1:F9" totalsRowShown="0" headerRowDxfId="47" dataDxfId="48">
  <autoFilter ref="A1:F9" xr:uid="{6FC5CA12-9145-2946-A122-2680264F6424}">
    <filterColumn colId="1">
      <filters>
        <filter val="13,134"/>
        <filter val="19,983"/>
        <filter val="33,416"/>
        <filter val="47,381"/>
        <filter val="6,849"/>
        <filter val="60,515"/>
        <filter val="7,255"/>
      </filters>
    </filterColumn>
  </autoFilter>
  <tableColumns count="6">
    <tableColumn id="1" xr3:uid="{5FED73B5-D4AA-FC45-822D-AC89106276C8}" name="Line Item" dataDxfId="54"/>
    <tableColumn id="2" xr3:uid="{67055E57-F8CC-BB40-A55C-9643AD4BA591}" name="2023" dataDxfId="53"/>
    <tableColumn id="3" xr3:uid="{A9F94914-CC10-FF40-9E14-58DAB7A57E0A}" name="2024" dataDxfId="52"/>
    <tableColumn id="4" xr3:uid="{06DD2310-3015-FC4A-8A84-0A6E65A83322}" name="2025" dataDxfId="51"/>
    <tableColumn id="5" xr3:uid="{590D11AC-C445-3B42-A041-BC7EAF2533A1}" name="yoy%24 " dataDxfId="50">
      <calculatedColumnFormula>(C2-B2)/B2</calculatedColumnFormula>
    </tableColumn>
    <tableColumn id="6" xr3:uid="{764254EB-022D-9146-A408-D9C4D2826A57}" name="yoy%2025" dataDxfId="49">
      <calculatedColumnFormula>(D2-C2)/C2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386473A-04FD-DF42-A89E-13FF65E7C546}" name="Table3" displayName="Table3" ref="A1:F2" totalsRowShown="0" headerRowDxfId="69" dataDxfId="55">
  <autoFilter ref="A1:F2" xr:uid="{5386473A-04FD-DF42-A89E-13FF65E7C546}"/>
  <tableColumns count="6">
    <tableColumn id="1" xr3:uid="{9902AECC-6EC3-414E-9A28-49061B3B2701}" name="Line Item" dataDxfId="61"/>
    <tableColumn id="2" xr3:uid="{BFC30EE2-7730-F943-B23C-EA72B26E4002}" name="2023" dataDxfId="60"/>
    <tableColumn id="3" xr3:uid="{A732E84C-9745-A148-A56F-3D9FB13541D0}" name="2024" dataDxfId="59"/>
    <tableColumn id="4" xr3:uid="{6A17A4C1-B374-7F4C-B92B-2A8B3E97BD87}" name="2025" dataDxfId="58"/>
    <tableColumn id="5" xr3:uid="{7C5D83AE-B7FC-2A4E-9DC3-0A4FB0E681E2}" name="yoy2024% " dataDxfId="57">
      <calculatedColumnFormula>(C2-B2)/B2</calculatedColumnFormula>
    </tableColumn>
    <tableColumn id="6" xr3:uid="{62A28FFE-EB86-F947-AA66-08D0885F62FD}" name="yoy2025%" dataDxfId="56">
      <calculatedColumnFormula>(D2-C2)/C2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7A5532F-2DFC-FB42-8EBB-C4AAC40EFBC2}" name="Table4" displayName="Table4" ref="A1:E8" totalsRowShown="0" headerRowDxfId="41" dataDxfId="40">
  <autoFilter ref="A1:E8" xr:uid="{57A5532F-2DFC-FB42-8EBB-C4AAC40EFBC2}"/>
  <tableColumns count="5">
    <tableColumn id="1" xr3:uid="{E3D6A82F-F8A6-0A4E-8EBD-9DA916195F8C}" name="Line Item" dataDxfId="46"/>
    <tableColumn id="2" xr3:uid="{F2835231-B77A-0D46-ABC2-EC6683C77FB2}" name="2023" dataDxfId="45"/>
    <tableColumn id="3" xr3:uid="{D201C927-75B5-9240-9B89-62F2F91CB139}" name="2024" dataDxfId="44"/>
    <tableColumn id="4" xr3:uid="{4F61FA3B-99B3-8F43-BFFF-0808673E8F76}" name="2025" dataDxfId="43"/>
    <tableColumn id="5" xr3:uid="{0B925E7F-D3FF-BD40-915D-2F93593A619C}" name="yoy2024%" dataDxfId="42">
      <calculatedColumnFormula>(C2-B2)/B2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36AC49B-894A-A94F-9805-80E38D16A2A1}" name="Table7" displayName="Table7" ref="F1:F8" totalsRowShown="0" headerRowDxfId="38" dataDxfId="37">
  <autoFilter ref="F1:F8" xr:uid="{D36AC49B-894A-A94F-9805-80E38D16A2A1}"/>
  <tableColumns count="1">
    <tableColumn id="1" xr3:uid="{AAC48BF1-846A-EB46-8EDF-D0D8C390F8EC}" name="yoy2025%" dataDxfId="39">
      <calculatedColumnFormula>(D2-C2)/C2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7F8DB1-F5F6-9043-B43B-D61263A6D143}" name="Table2" displayName="Table2" ref="A1:D4" totalsRowShown="0" headerRowDxfId="32" dataDxfId="31">
  <autoFilter ref="A1:D4" xr:uid="{8F7F8DB1-F5F6-9043-B43B-D61263A6D143}"/>
  <tableColumns count="4">
    <tableColumn id="1" xr3:uid="{5B125F86-D669-DD4E-A00B-B2C132B88E6C}" name="Line Item" dataDxfId="36"/>
    <tableColumn id="2" xr3:uid="{193B800B-5C1D-0E47-A2E9-0E7F0ECB9312}" name="2023" dataDxfId="35"/>
    <tableColumn id="3" xr3:uid="{19178FB5-BB89-B342-B162-FA00E785C857}" name="2024" dataDxfId="34"/>
    <tableColumn id="4" xr3:uid="{1903C17A-4F94-6442-8FC9-CB5125B83BD3}" name="2025" dataDxfId="3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8521DDD-EDAC-104D-BEA6-806F35304EF9}" name="Table79" displayName="Table79" ref="F1:F4" totalsRowShown="0" headerRowDxfId="29" dataDxfId="28">
  <autoFilter ref="F1:F4" xr:uid="{A8521DDD-EDAC-104D-BEA6-806F35304EF9}"/>
  <tableColumns count="1">
    <tableColumn id="1" xr3:uid="{02DFEF1C-F437-BB4D-A478-9662F4C95922}" name="yoy2025%" dataDxfId="30">
      <calculatedColumnFormula>(D2-C2)/C2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9E9629-2E7D-9F41-8CCC-2C91E9A31194}" name="Table9" displayName="Table9" ref="E1:E4" totalsRowShown="0" headerRowDxfId="26" dataDxfId="25">
  <autoFilter ref="E1:E4" xr:uid="{EC9E9629-2E7D-9F41-8CCC-2C91E9A31194}"/>
  <tableColumns count="1">
    <tableColumn id="1" xr3:uid="{1D768C61-2E16-A842-883B-4A23BECC1297}" name="yoy2024%" dataDxfId="27">
      <calculatedColumnFormula>(C2-B2)/B2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FB272E32-7356-A842-9519-8AE075216FAC}" name="Table10" displayName="Table10" ref="A1:D5" totalsRowShown="0" headerRowDxfId="20" dataDxfId="19">
  <autoFilter ref="A1:D5" xr:uid="{FB272E32-7356-A842-9519-8AE075216FAC}"/>
  <tableColumns count="4">
    <tableColumn id="1" xr3:uid="{3024B0B0-355D-F441-BE94-C9AB20C21FB7}" name="Metric" dataDxfId="24"/>
    <tableColumn id="2" xr3:uid="{12C66900-E132-654D-99DD-E1FD9912947D}" name="2023" dataDxfId="23">
      <calculatedColumnFormula>expenses!B6/'statement of income'!B1</calculatedColumnFormula>
    </tableColumn>
    <tableColumn id="3" xr3:uid="{7DA409B0-3EE8-2049-A780-FE4BBCCE0663}" name="2024" dataDxfId="22">
      <calculatedColumnFormula>'profit '!C4/'statement of income'!B3</calculatedColumnFormula>
    </tableColumn>
    <tableColumn id="4" xr3:uid="{6AA01F84-FAF0-F144-8E9B-B395169AB69F}" name="2025" dataDxfId="21">
      <calculatedColumnFormula array="1">Table3[2025]/Table6[[#This Row],[Revenue]]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D82642-5012-9B4E-BAF0-1CACD38F5527}" name="Table1" displayName="Table1" ref="A1:E4" totalsRowShown="0" headerRowDxfId="68" dataDxfId="67">
  <autoFilter ref="A1:E4" xr:uid="{27D82642-5012-9B4E-BAF0-1CACD38F5527}"/>
  <tableColumns count="5">
    <tableColumn id="1" xr3:uid="{891FF839-7518-8246-8CAB-7A1D40756440}" name="Year" dataDxfId="66"/>
    <tableColumn id="2" xr3:uid="{E8BDC66D-3694-8442-98D1-2C0C9D99DD88}" name="Revenue" dataDxfId="65"/>
    <tableColumn id="3" xr3:uid="{B2C70E69-5753-4B4A-A869-BF7283A13064}" name="Expenses" dataDxfId="64"/>
    <tableColumn id="4" xr3:uid="{4E06DDF7-46BE-874F-BAB4-D85127394B24}" name="Pretax Income" dataDxfId="63"/>
    <tableColumn id="5" xr3:uid="{C1E81FDA-729D-8D40-B250-3C764783CF26}" name="Net Income" dataDxfId="62"/>
  </tableColumns>
  <tableStyleInfo name="TableStyleMedium6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A5F588E-E46C-ED44-8DF1-C8A12F0FFB65}" name="Table11" displayName="Table11" ref="A1:C4" totalsRowShown="0" headerRowDxfId="6" dataDxfId="15">
  <autoFilter ref="A1:C4" xr:uid="{1A5F588E-E46C-ED44-8DF1-C8A12F0FFB65}"/>
  <tableColumns count="3">
    <tableColumn id="1" xr3:uid="{8FBE9EAE-CD45-7947-9D72-8091BEF674B3}" name="Metric" dataDxfId="18"/>
    <tableColumn id="2" xr3:uid="{591650CA-FB61-9C46-80EE-2D81E29725CE}" name="2024 Growth" dataDxfId="17"/>
    <tableColumn id="3" xr3:uid="{A017B3A2-B53A-CB43-AD5D-FDE35A30C0D8}" name="2025 Growth" dataDxfId="16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B4906F2-A430-E54C-91E2-62D824295FB4}" name="Table12" displayName="Table12" ref="A7:B9" totalsRowShown="0" headerRowDxfId="12" dataDxfId="11">
  <autoFilter ref="A7:B9" xr:uid="{AB4906F2-A430-E54C-91E2-62D824295FB4}"/>
  <tableColumns count="2">
    <tableColumn id="1" xr3:uid="{87FFA17B-277E-7049-AB8D-45BED3584C37}" name="operating  leverage impact " dataDxfId="14"/>
    <tableColumn id="2" xr3:uid="{1E9B6B7F-0FD3-1347-9EC1-5F2D99A0206F}" name="Column1" dataDxfId="13">
      <calculatedColumnFormula>C1-C2</calculatedColumnFormula>
    </tableColumn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7841360-E7F1-A445-8A79-DA14BF1F4EF1}" name="Table13" displayName="Table13" ref="A11:B12" totalsRowShown="0" headerRowDxfId="7" dataDxfId="8">
  <autoFilter ref="A11:B12" xr:uid="{A7841360-E7F1-A445-8A79-DA14BF1F4EF1}"/>
  <tableColumns count="2">
    <tableColumn id="1" xr3:uid="{B1575DA5-C593-A34D-98D1-53C4F5F9AD18}" name="Profit conversion efficiency " dataDxfId="10"/>
    <tableColumn id="2" xr3:uid="{7397B60C-3345-384A-A7E3-5CD0CEBB6431}" name="Column1" dataDxfId="9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7370AC6-068C-8844-A512-71EB09FF10CD}" name="Table1416" displayName="Table1416" ref="A1:D2" totalsRowShown="0" headerRowDxfId="0" dataDxfId="1">
  <autoFilter ref="A1:D2" xr:uid="{87370AC6-068C-8844-A512-71EB09FF10CD}"/>
  <tableColumns count="4">
    <tableColumn id="1" xr3:uid="{495848CF-6531-5C4B-B4D9-46289D6C1588}" name="Revenue 2025" dataDxfId="5">
      <calculatedColumnFormula>'statement of income'!B4</calculatedColumnFormula>
    </tableColumn>
    <tableColumn id="2" xr3:uid="{46C54294-CD70-AF47-983D-6DC78B79A51D}" name="Net Margin 2025" dataDxfId="4">
      <calculatedColumnFormula>Table10[[#This Row],[2025]]</calculatedColumnFormula>
    </tableColumn>
    <tableColumn id="3" xr3:uid="{D7E1B313-548E-3F4C-932E-3FC066749B4A}" name="Operating Leverage 2025" dataDxfId="3">
      <calculatedColumnFormula>'growth analysis '!B9</calculatedColumnFormula>
    </tableColumn>
    <tableColumn id="4" xr3:uid="{BB36A9B6-7E4A-EA46-9525-0EB4AC5B67B0}" name="Provision Ratio 2025" dataDxfId="2">
      <calculatedColumnFormula>'margin analysis '!D5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9654C-6498-C34D-8C3F-71712FE4B308}">
  <sheetPr codeName="Sheet1"/>
  <dimension ref="A1:E15"/>
  <sheetViews>
    <sheetView zoomScale="107" workbookViewId="0">
      <selection activeCell="E13" sqref="E13"/>
    </sheetView>
  </sheetViews>
  <sheetFormatPr baseColWidth="10" defaultRowHeight="16" x14ac:dyDescent="0.2"/>
  <cols>
    <col min="1" max="1" width="45.83203125" style="1" customWidth="1"/>
    <col min="2" max="2" width="30.83203125" style="1" customWidth="1"/>
    <col min="3" max="16384" width="10.83203125" style="1"/>
  </cols>
  <sheetData>
    <row r="1" spans="1:5" x14ac:dyDescent="0.2">
      <c r="A1" s="1" t="s">
        <v>1</v>
      </c>
      <c r="B1" s="1" t="s">
        <v>3</v>
      </c>
      <c r="C1" s="1" t="s">
        <v>0</v>
      </c>
      <c r="D1" s="1" t="s">
        <v>4</v>
      </c>
      <c r="E1" s="1" t="s">
        <v>2</v>
      </c>
    </row>
    <row r="2" spans="1:5" x14ac:dyDescent="0.2">
      <c r="A2" s="3">
        <v>2023</v>
      </c>
      <c r="B2" s="2">
        <v>60515</v>
      </c>
      <c r="C2" s="2">
        <v>45079</v>
      </c>
      <c r="D2" s="2">
        <v>10513</v>
      </c>
      <c r="E2" s="2">
        <v>8374</v>
      </c>
    </row>
    <row r="3" spans="1:5" x14ac:dyDescent="0.2">
      <c r="A3" s="15">
        <v>2024</v>
      </c>
      <c r="B3" s="16">
        <v>65949</v>
      </c>
      <c r="C3" s="17">
        <v>47869</v>
      </c>
      <c r="D3" s="17">
        <v>12895</v>
      </c>
      <c r="E3" s="17">
        <v>10129</v>
      </c>
    </row>
    <row r="4" spans="1:5" x14ac:dyDescent="0.2">
      <c r="A4" s="1">
        <v>2025</v>
      </c>
      <c r="B4" s="2">
        <v>72229</v>
      </c>
      <c r="C4" s="2">
        <v>53178</v>
      </c>
      <c r="D4" s="2">
        <v>13795</v>
      </c>
      <c r="E4" s="2">
        <v>10833</v>
      </c>
    </row>
    <row r="5" spans="1:5" x14ac:dyDescent="0.2">
      <c r="B5" s="2"/>
    </row>
    <row r="6" spans="1:5" x14ac:dyDescent="0.2">
      <c r="B6" s="2"/>
    </row>
    <row r="8" spans="1:5" x14ac:dyDescent="0.2">
      <c r="A8" s="3"/>
    </row>
    <row r="9" spans="1:5" x14ac:dyDescent="0.2">
      <c r="B9" s="2"/>
    </row>
    <row r="10" spans="1:5" x14ac:dyDescent="0.2">
      <c r="B10" s="2"/>
    </row>
    <row r="11" spans="1:5" x14ac:dyDescent="0.2">
      <c r="B11" s="2"/>
    </row>
    <row r="12" spans="1:5" x14ac:dyDescent="0.2">
      <c r="A12" s="3"/>
    </row>
    <row r="13" spans="1:5" x14ac:dyDescent="0.2">
      <c r="B13" s="2"/>
    </row>
    <row r="14" spans="1:5" x14ac:dyDescent="0.2">
      <c r="B14" s="2"/>
    </row>
    <row r="15" spans="1:5" x14ac:dyDescent="0.2">
      <c r="B15" s="2"/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2A7E9-FB83-E741-857C-8A4F0BBCDCB0}">
  <sheetPr codeName="Sheet2"/>
  <dimension ref="A1:F9"/>
  <sheetViews>
    <sheetView zoomScale="115" workbookViewId="0">
      <selection activeCell="B15" sqref="B15"/>
    </sheetView>
  </sheetViews>
  <sheetFormatPr baseColWidth="10" defaultRowHeight="16" x14ac:dyDescent="0.2"/>
  <cols>
    <col min="1" max="1" width="31.5" customWidth="1"/>
    <col min="2" max="2" width="21" customWidth="1"/>
    <col min="3" max="3" width="18.33203125" customWidth="1"/>
    <col min="4" max="4" width="18" customWidth="1"/>
    <col min="5" max="6" width="10.83203125" style="8"/>
  </cols>
  <sheetData>
    <row r="1" spans="1:6" s="1" customFormat="1" x14ac:dyDescent="0.2">
      <c r="A1" s="1" t="s">
        <v>5</v>
      </c>
      <c r="B1" s="1" t="s">
        <v>25</v>
      </c>
      <c r="C1" s="1" t="s">
        <v>26</v>
      </c>
      <c r="D1" s="1" t="s">
        <v>27</v>
      </c>
      <c r="E1" s="18" t="s">
        <v>29</v>
      </c>
      <c r="F1" s="18" t="s">
        <v>30</v>
      </c>
    </row>
    <row r="2" spans="1:6" x14ac:dyDescent="0.2">
      <c r="A2" s="10" t="s">
        <v>6</v>
      </c>
      <c r="B2" s="11">
        <v>33416</v>
      </c>
      <c r="C2" s="11">
        <v>35192</v>
      </c>
      <c r="D2" s="11">
        <v>37401</v>
      </c>
      <c r="E2" s="12">
        <f>(C2-B2)/B2</f>
        <v>5.3148192482643047E-2</v>
      </c>
      <c r="F2" s="12">
        <f>(D2-C2)/C2</f>
        <v>6.2769947715389865E-2</v>
      </c>
    </row>
    <row r="3" spans="1:6" x14ac:dyDescent="0.2">
      <c r="A3" s="10" t="s">
        <v>7</v>
      </c>
      <c r="B3" s="13">
        <v>7255</v>
      </c>
      <c r="C3" s="13">
        <v>8449</v>
      </c>
      <c r="D3" s="13">
        <v>9993</v>
      </c>
      <c r="E3" s="12">
        <f t="shared" ref="E3:E9" si="0">(C3-B3)/B3</f>
        <v>0.16457615437629222</v>
      </c>
      <c r="F3" s="12">
        <f t="shared" ref="F2:F9" si="1">(D3-C3)/C3</f>
        <v>0.18274351994318855</v>
      </c>
    </row>
    <row r="4" spans="1:6" x14ac:dyDescent="0.2">
      <c r="A4" s="14" t="s">
        <v>10</v>
      </c>
      <c r="B4" s="13">
        <v>6710</v>
      </c>
      <c r="C4" s="13">
        <v>6765</v>
      </c>
      <c r="D4" s="13">
        <v>7471</v>
      </c>
      <c r="E4" s="12">
        <f>(C4-B4)/B4</f>
        <v>8.1967213114754103E-3</v>
      </c>
      <c r="F4" s="12">
        <f t="shared" si="1"/>
        <v>0.10436067997043606</v>
      </c>
    </row>
    <row r="5" spans="1:6" x14ac:dyDescent="0.2">
      <c r="A5" s="10" t="s">
        <v>8</v>
      </c>
      <c r="B5" s="13">
        <v>47381</v>
      </c>
      <c r="C5" s="13">
        <v>50406</v>
      </c>
      <c r="D5" s="13">
        <v>54865</v>
      </c>
      <c r="E5" s="12">
        <f t="shared" si="0"/>
        <v>6.3844156940545793E-2</v>
      </c>
      <c r="F5" s="12">
        <f t="shared" si="1"/>
        <v>8.8461691068523585E-2</v>
      </c>
    </row>
    <row r="6" spans="1:6" x14ac:dyDescent="0.2">
      <c r="A6" s="10" t="s">
        <v>11</v>
      </c>
      <c r="B6" s="13">
        <v>19983</v>
      </c>
      <c r="C6" s="13">
        <v>23795</v>
      </c>
      <c r="D6" s="13">
        <v>25598</v>
      </c>
      <c r="E6" s="12">
        <f t="shared" si="0"/>
        <v>0.19076214782565182</v>
      </c>
      <c r="F6" s="12">
        <f t="shared" si="1"/>
        <v>7.577222105484345E-2</v>
      </c>
    </row>
    <row r="7" spans="1:6" x14ac:dyDescent="0.2">
      <c r="A7" s="14" t="s">
        <v>12</v>
      </c>
      <c r="B7" s="13">
        <v>6849</v>
      </c>
      <c r="C7" s="13">
        <v>8252</v>
      </c>
      <c r="D7" s="13">
        <v>8234</v>
      </c>
      <c r="E7" s="12">
        <f t="shared" si="0"/>
        <v>0.20484742298145714</v>
      </c>
      <c r="F7" s="12">
        <f t="shared" si="1"/>
        <v>-2.1812893843916625E-3</v>
      </c>
    </row>
    <row r="8" spans="1:6" x14ac:dyDescent="0.2">
      <c r="A8" s="10" t="s">
        <v>9</v>
      </c>
      <c r="B8" s="13">
        <v>13134</v>
      </c>
      <c r="C8" s="13">
        <v>15543</v>
      </c>
      <c r="D8" s="13">
        <v>17364</v>
      </c>
      <c r="E8" s="12">
        <f t="shared" si="0"/>
        <v>0.18341708542713567</v>
      </c>
      <c r="F8" s="12">
        <f t="shared" si="1"/>
        <v>0.11715884964292608</v>
      </c>
    </row>
    <row r="9" spans="1:6" x14ac:dyDescent="0.2">
      <c r="A9" s="14" t="s">
        <v>13</v>
      </c>
      <c r="B9" s="13">
        <v>60515</v>
      </c>
      <c r="C9" s="13">
        <v>65949</v>
      </c>
      <c r="D9" s="13">
        <v>72229</v>
      </c>
      <c r="E9" s="12">
        <f t="shared" si="0"/>
        <v>8.9795918367346933E-2</v>
      </c>
      <c r="F9" s="12">
        <f>(D9-C9)/C9</f>
        <v>9.5225098181928466E-2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043C1-306D-694C-8649-09BCEA7DF56B}">
  <sheetPr codeName="Sheet3"/>
  <dimension ref="A1:F2"/>
  <sheetViews>
    <sheetView zoomScaleNormal="99" workbookViewId="0">
      <selection activeCell="B7" sqref="B7"/>
    </sheetView>
  </sheetViews>
  <sheetFormatPr baseColWidth="10" defaultRowHeight="16" x14ac:dyDescent="0.2"/>
  <cols>
    <col min="1" max="1" width="22.6640625" bestFit="1" customWidth="1"/>
    <col min="2" max="2" width="19.1640625" customWidth="1"/>
    <col min="3" max="3" width="21.1640625" customWidth="1"/>
    <col min="4" max="4" width="19.5" customWidth="1"/>
    <col min="5" max="5" width="20.5" style="8" customWidth="1"/>
    <col min="6" max="6" width="20.6640625" style="8" customWidth="1"/>
  </cols>
  <sheetData>
    <row r="1" spans="1:6" x14ac:dyDescent="0.2">
      <c r="A1" s="4" t="s">
        <v>5</v>
      </c>
      <c r="B1" s="4" t="s">
        <v>25</v>
      </c>
      <c r="C1" s="4" t="s">
        <v>26</v>
      </c>
      <c r="D1" s="4" t="s">
        <v>27</v>
      </c>
      <c r="E1" s="9" t="s">
        <v>31</v>
      </c>
      <c r="F1" s="9" t="s">
        <v>32</v>
      </c>
    </row>
    <row r="2" spans="1:6" x14ac:dyDescent="0.2">
      <c r="A2" s="14" t="s">
        <v>14</v>
      </c>
      <c r="B2" s="13">
        <v>4923</v>
      </c>
      <c r="C2" s="13">
        <v>5185</v>
      </c>
      <c r="D2" s="13">
        <v>5256</v>
      </c>
      <c r="E2" s="12">
        <f>(C2-B2)/B2</f>
        <v>5.3219581555961813E-2</v>
      </c>
      <c r="F2" s="12">
        <f>(D2-C2)/C2</f>
        <v>1.3693346190935391E-2</v>
      </c>
    </row>
  </sheetData>
  <phoneticPr fontId="9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80B3F-6479-4147-9605-F7CDBEEAC391}">
  <sheetPr codeName="Sheet4"/>
  <dimension ref="A1:F8"/>
  <sheetViews>
    <sheetView tabSelected="1" workbookViewId="0">
      <selection activeCell="C11" sqref="C11"/>
    </sheetView>
  </sheetViews>
  <sheetFormatPr baseColWidth="10" defaultRowHeight="16" x14ac:dyDescent="0.2"/>
  <cols>
    <col min="1" max="1" width="21.33203125" style="1" customWidth="1"/>
    <col min="2" max="2" width="13.33203125" style="1" customWidth="1"/>
    <col min="3" max="3" width="19.33203125" style="1" customWidth="1"/>
    <col min="4" max="4" width="14.6640625" style="1" customWidth="1"/>
    <col min="5" max="5" width="10.83203125" style="18"/>
    <col min="6" max="6" width="11.6640625" style="18" customWidth="1"/>
    <col min="7" max="16384" width="10.83203125" style="1"/>
  </cols>
  <sheetData>
    <row r="1" spans="1:6" x14ac:dyDescent="0.2">
      <c r="A1" s="19" t="s">
        <v>5</v>
      </c>
      <c r="B1" s="19" t="s">
        <v>25</v>
      </c>
      <c r="C1" s="19" t="s">
        <v>26</v>
      </c>
      <c r="D1" s="19" t="s">
        <v>27</v>
      </c>
      <c r="E1" s="20" t="s">
        <v>33</v>
      </c>
      <c r="F1" s="20" t="s">
        <v>32</v>
      </c>
    </row>
    <row r="2" spans="1:6" x14ac:dyDescent="0.2">
      <c r="A2" s="14" t="s">
        <v>15</v>
      </c>
      <c r="B2" s="13">
        <v>15367</v>
      </c>
      <c r="C2" s="13">
        <v>16599</v>
      </c>
      <c r="D2" s="13">
        <v>18409</v>
      </c>
      <c r="E2" s="12">
        <f t="shared" ref="E2:F8" si="0">(C2-B2)/B2</f>
        <v>8.0171796707229778E-2</v>
      </c>
      <c r="F2" s="12">
        <f>(D2-C2)/C2</f>
        <v>0.10904271341647087</v>
      </c>
    </row>
    <row r="3" spans="1:6" x14ac:dyDescent="0.2">
      <c r="A3" s="14" t="s">
        <v>16</v>
      </c>
      <c r="B3" s="13">
        <v>5657</v>
      </c>
      <c r="C3" s="13">
        <v>5886</v>
      </c>
      <c r="D3" s="13">
        <v>6457</v>
      </c>
      <c r="E3" s="12">
        <f t="shared" si="0"/>
        <v>4.0480820222732895E-2</v>
      </c>
      <c r="F3" s="12">
        <f t="shared" si="0"/>
        <v>9.7009853890587833E-2</v>
      </c>
    </row>
    <row r="4" spans="1:6" x14ac:dyDescent="0.2">
      <c r="A4" s="14" t="s">
        <v>17</v>
      </c>
      <c r="B4" s="13">
        <v>3968</v>
      </c>
      <c r="C4" s="13">
        <v>4782</v>
      </c>
      <c r="D4" s="13">
        <v>6057</v>
      </c>
      <c r="E4" s="12">
        <f t="shared" si="0"/>
        <v>0.20514112903225806</v>
      </c>
      <c r="F4" s="12">
        <f t="shared" si="0"/>
        <v>0.26662484316185697</v>
      </c>
    </row>
    <row r="5" spans="1:6" x14ac:dyDescent="0.2">
      <c r="A5" s="14" t="s">
        <v>18</v>
      </c>
      <c r="B5" s="13">
        <v>5213</v>
      </c>
      <c r="C5" s="13">
        <v>6040</v>
      </c>
      <c r="D5" s="13">
        <v>6252</v>
      </c>
      <c r="E5" s="12">
        <f t="shared" si="0"/>
        <v>0.15864185689622098</v>
      </c>
      <c r="F5" s="12">
        <f t="shared" si="0"/>
        <v>3.5099337748344374E-2</v>
      </c>
    </row>
    <row r="6" spans="1:6" x14ac:dyDescent="0.2">
      <c r="A6" s="14" t="s">
        <v>19</v>
      </c>
      <c r="B6" s="13">
        <v>8067</v>
      </c>
      <c r="C6" s="13">
        <v>8198</v>
      </c>
      <c r="D6" s="13">
        <v>9016</v>
      </c>
      <c r="E6" s="12">
        <f t="shared" si="0"/>
        <v>1.6238998388496344E-2</v>
      </c>
      <c r="F6" s="12">
        <f t="shared" si="0"/>
        <v>9.9780434252256647E-2</v>
      </c>
    </row>
    <row r="7" spans="1:6" x14ac:dyDescent="0.2">
      <c r="A7" s="14" t="s">
        <v>20</v>
      </c>
      <c r="B7" s="13">
        <v>6807</v>
      </c>
      <c r="C7" s="13">
        <v>6364</v>
      </c>
      <c r="D7" s="13">
        <v>6987</v>
      </c>
      <c r="E7" s="12">
        <f t="shared" si="0"/>
        <v>-6.508006463934185E-2</v>
      </c>
      <c r="F7" s="12">
        <f t="shared" si="0"/>
        <v>9.7894406033940923E-2</v>
      </c>
    </row>
    <row r="8" spans="1:6" x14ac:dyDescent="0.2">
      <c r="A8" s="14" t="s">
        <v>21</v>
      </c>
      <c r="B8" s="13">
        <v>45079</v>
      </c>
      <c r="C8" s="13">
        <v>47869</v>
      </c>
      <c r="D8" s="13">
        <v>53178</v>
      </c>
      <c r="E8" s="12">
        <f t="shared" si="0"/>
        <v>6.189134630315668E-2</v>
      </c>
      <c r="F8" s="12">
        <f t="shared" si="0"/>
        <v>0.11090684994464058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12B63-2D82-AF48-B95F-D7CA5D11E952}">
  <sheetPr codeName="Sheet5"/>
  <dimension ref="A1:F4"/>
  <sheetViews>
    <sheetView zoomScale="92" workbookViewId="0">
      <selection activeCell="D12" sqref="D12"/>
    </sheetView>
  </sheetViews>
  <sheetFormatPr baseColWidth="10" defaultRowHeight="16" x14ac:dyDescent="0.2"/>
  <cols>
    <col min="1" max="1" width="17" style="1" customWidth="1"/>
    <col min="2" max="2" width="22" style="1" customWidth="1"/>
    <col min="3" max="3" width="16.1640625" style="1" customWidth="1"/>
    <col min="4" max="4" width="17.83203125" style="1" customWidth="1"/>
    <col min="5" max="5" width="12.1640625" style="18" customWidth="1"/>
    <col min="6" max="6" width="11.6640625" style="18" customWidth="1"/>
    <col min="7" max="16384" width="10.83203125" style="1"/>
  </cols>
  <sheetData>
    <row r="1" spans="1:6" x14ac:dyDescent="0.2">
      <c r="A1" s="19" t="s">
        <v>5</v>
      </c>
      <c r="B1" s="19" t="s">
        <v>25</v>
      </c>
      <c r="C1" s="19" t="s">
        <v>26</v>
      </c>
      <c r="D1" s="19" t="s">
        <v>27</v>
      </c>
      <c r="E1" s="20" t="s">
        <v>33</v>
      </c>
      <c r="F1" s="20" t="s">
        <v>32</v>
      </c>
    </row>
    <row r="2" spans="1:6" x14ac:dyDescent="0.2">
      <c r="A2" s="14" t="s">
        <v>22</v>
      </c>
      <c r="B2" s="13">
        <v>10513</v>
      </c>
      <c r="C2" s="13">
        <v>12895</v>
      </c>
      <c r="D2" s="13">
        <v>13795</v>
      </c>
      <c r="E2" s="12">
        <f t="shared" ref="E2:F4" si="0">(C2-B2)/B2</f>
        <v>0.22657661942357082</v>
      </c>
      <c r="F2" s="12">
        <f>(D2-C2)/C2</f>
        <v>6.9794493989918577E-2</v>
      </c>
    </row>
    <row r="3" spans="1:6" x14ac:dyDescent="0.2">
      <c r="A3" s="14" t="s">
        <v>23</v>
      </c>
      <c r="B3" s="13">
        <v>2139</v>
      </c>
      <c r="C3" s="13">
        <v>2766</v>
      </c>
      <c r="D3" s="13">
        <v>2962</v>
      </c>
      <c r="E3" s="12">
        <f t="shared" si="0"/>
        <v>0.29312762973352036</v>
      </c>
      <c r="F3" s="12">
        <f>(D3-C3)/C3</f>
        <v>7.0860448300795367E-2</v>
      </c>
    </row>
    <row r="4" spans="1:6" x14ac:dyDescent="0.2">
      <c r="A4" s="14" t="s">
        <v>24</v>
      </c>
      <c r="B4" s="13">
        <v>8374</v>
      </c>
      <c r="C4" s="13">
        <v>10129</v>
      </c>
      <c r="D4" s="13">
        <v>10833</v>
      </c>
      <c r="E4" s="12">
        <f t="shared" si="0"/>
        <v>0.20957726295677095</v>
      </c>
      <c r="F4" s="12">
        <f>(D4-C4)/C4</f>
        <v>6.9503406061802747E-2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C8D57-2398-D740-8FB0-3733D2ED6536}">
  <sheetPr codeName="Sheet6"/>
  <dimension ref="A1:D5"/>
  <sheetViews>
    <sheetView zoomScale="106" zoomScaleNormal="106" workbookViewId="0">
      <selection activeCell="D15" sqref="D15"/>
    </sheetView>
  </sheetViews>
  <sheetFormatPr baseColWidth="10" defaultRowHeight="16" x14ac:dyDescent="0.2"/>
  <cols>
    <col min="1" max="1" width="16.83203125" style="1" customWidth="1"/>
    <col min="2" max="2" width="18" style="18" customWidth="1"/>
    <col min="3" max="3" width="14.5" style="18" customWidth="1"/>
    <col min="4" max="4" width="16.33203125" style="18" customWidth="1"/>
    <col min="5" max="16384" width="10.83203125" style="1"/>
  </cols>
  <sheetData>
    <row r="1" spans="1:4" x14ac:dyDescent="0.2">
      <c r="A1" s="19" t="s">
        <v>34</v>
      </c>
      <c r="B1" s="20" t="s">
        <v>25</v>
      </c>
      <c r="C1" s="20" t="s">
        <v>26</v>
      </c>
      <c r="D1" s="20" t="s">
        <v>27</v>
      </c>
    </row>
    <row r="2" spans="1:4" x14ac:dyDescent="0.2">
      <c r="A2" s="14" t="s">
        <v>35</v>
      </c>
      <c r="B2" s="12">
        <f>'profit '!B4/'statement of income'!B2</f>
        <v>0.13837891431876395</v>
      </c>
      <c r="C2" s="12">
        <f>'profit '!C4/'statement of income'!B3</f>
        <v>0.15358837889884608</v>
      </c>
      <c r="D2" s="12">
        <f>'profit '!D4/'statement of income'!B4</f>
        <v>0.14998130944634427</v>
      </c>
    </row>
    <row r="3" spans="1:4" x14ac:dyDescent="0.2">
      <c r="A3" s="14" t="s">
        <v>36</v>
      </c>
      <c r="B3" s="12">
        <f>'profit '!B2/'statement of income'!B2</f>
        <v>0.17372552259770305</v>
      </c>
      <c r="C3" s="12">
        <f>'profit '!C2/'statement of income'!B3</f>
        <v>0.19552987914903941</v>
      </c>
      <c r="D3" s="12">
        <f>'profit '!D2/'statement of income'!B4</f>
        <v>0.1909897686524803</v>
      </c>
    </row>
    <row r="4" spans="1:4" x14ac:dyDescent="0.2">
      <c r="A4" s="14" t="s">
        <v>37</v>
      </c>
      <c r="B4" s="12">
        <f>expenses!B8/'statement of income'!B2</f>
        <v>0.7449227464265058</v>
      </c>
      <c r="C4" s="12">
        <f>expenses!C8/Table6[[#This Row],[Revenue]]</f>
        <v>0.66273934292320258</v>
      </c>
      <c r="D4" s="12">
        <f>expenses!D8/'statement of income'!B4</f>
        <v>0.73624167578119593</v>
      </c>
    </row>
    <row r="5" spans="1:4" x14ac:dyDescent="0.2">
      <c r="A5" s="14" t="s">
        <v>38</v>
      </c>
      <c r="B5" s="12" cm="1">
        <f t="array" ref="B5">Table3[2023]/'statement of income'!B2</f>
        <v>8.1351730975791126E-2</v>
      </c>
      <c r="C5" s="12" cm="1">
        <f t="array" ref="C5">Table3[2024]/'statement of income'!B3</f>
        <v>7.8621358928869275E-2</v>
      </c>
      <c r="D5" s="18" cm="1">
        <f t="array" ref="D5">Table3[2025]/'statement of income'!B4</f>
        <v>7.2768555566323778E-2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72AB1-B158-CC4E-8EA7-26A56C2E0313}">
  <sheetPr codeName="Sheet7"/>
  <dimension ref="A1:E4"/>
  <sheetViews>
    <sheetView zoomScale="111" workbookViewId="0">
      <selection activeCell="F1" sqref="F1:F1048576"/>
    </sheetView>
  </sheetViews>
  <sheetFormatPr baseColWidth="10" defaultRowHeight="18" x14ac:dyDescent="0.2"/>
  <cols>
    <col min="1" max="1" width="18.5" style="5" customWidth="1"/>
    <col min="2" max="2" width="19.1640625" style="5" customWidth="1"/>
    <col min="3" max="3" width="12.6640625" style="5" customWidth="1"/>
    <col min="4" max="4" width="18" style="5" customWidth="1"/>
    <col min="5" max="5" width="16.5" style="5" customWidth="1"/>
    <col min="6" max="16384" width="10.83203125" style="5"/>
  </cols>
  <sheetData>
    <row r="1" spans="1:5" s="7" customFormat="1" x14ac:dyDescent="0.2">
      <c r="A1" s="7" t="s">
        <v>1</v>
      </c>
      <c r="B1" s="7" t="s">
        <v>3</v>
      </c>
      <c r="C1" s="7" t="s">
        <v>0</v>
      </c>
      <c r="D1" s="7" t="s">
        <v>4</v>
      </c>
      <c r="E1" s="7" t="s">
        <v>2</v>
      </c>
    </row>
    <row r="2" spans="1:5" x14ac:dyDescent="0.2">
      <c r="A2" s="5">
        <v>2023</v>
      </c>
      <c r="B2" s="6">
        <v>60515</v>
      </c>
      <c r="C2" s="6">
        <v>45079</v>
      </c>
      <c r="D2" s="6">
        <v>10513</v>
      </c>
      <c r="E2" s="6">
        <v>8374</v>
      </c>
    </row>
    <row r="3" spans="1:5" x14ac:dyDescent="0.2">
      <c r="A3" s="5">
        <v>2024</v>
      </c>
      <c r="B3" s="6">
        <v>65949</v>
      </c>
      <c r="C3" s="6">
        <v>47869</v>
      </c>
      <c r="D3" s="6">
        <v>12895</v>
      </c>
      <c r="E3" s="6">
        <v>10129</v>
      </c>
    </row>
    <row r="4" spans="1:5" x14ac:dyDescent="0.2">
      <c r="A4" s="5">
        <v>2025</v>
      </c>
      <c r="B4" s="6">
        <v>72229</v>
      </c>
      <c r="C4" s="6">
        <v>53178</v>
      </c>
      <c r="D4" s="6">
        <v>13795</v>
      </c>
      <c r="E4" s="6">
        <v>10833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1E20-EAD4-5847-B155-7E836DBAF4CA}">
  <sheetPr codeName="Sheet8"/>
  <dimension ref="A1:C13"/>
  <sheetViews>
    <sheetView workbookViewId="0">
      <selection activeCell="C15" sqref="C15"/>
    </sheetView>
  </sheetViews>
  <sheetFormatPr baseColWidth="10" defaultRowHeight="16" x14ac:dyDescent="0.2"/>
  <cols>
    <col min="1" max="1" width="26.33203125" style="1" customWidth="1"/>
    <col min="2" max="2" width="23.33203125" style="1" customWidth="1"/>
    <col min="3" max="3" width="21.33203125" style="1" customWidth="1"/>
    <col min="4" max="16384" width="10.83203125" style="1"/>
  </cols>
  <sheetData>
    <row r="1" spans="1:3" s="3" customFormat="1" x14ac:dyDescent="0.2">
      <c r="A1" s="3" t="s">
        <v>34</v>
      </c>
      <c r="B1" s="3" t="s">
        <v>39</v>
      </c>
      <c r="C1" s="3" t="s">
        <v>40</v>
      </c>
    </row>
    <row r="2" spans="1:3" x14ac:dyDescent="0.2">
      <c r="A2" s="1" t="s">
        <v>41</v>
      </c>
      <c r="B2" s="18">
        <v>8.9800000000000005E-2</v>
      </c>
      <c r="C2" s="18">
        <v>9.5200000000000007E-2</v>
      </c>
    </row>
    <row r="3" spans="1:3" x14ac:dyDescent="0.2">
      <c r="A3" s="1" t="s">
        <v>42</v>
      </c>
      <c r="B3" s="18">
        <v>6.1899999999999997E-2</v>
      </c>
      <c r="C3" s="18">
        <v>0.1109</v>
      </c>
    </row>
    <row r="4" spans="1:3" x14ac:dyDescent="0.2">
      <c r="A4" s="1" t="s">
        <v>43</v>
      </c>
      <c r="B4" s="18">
        <v>0.20960000000000001</v>
      </c>
      <c r="C4" s="18">
        <v>6.9500000000000006E-2</v>
      </c>
    </row>
    <row r="7" spans="1:3" x14ac:dyDescent="0.2">
      <c r="A7" s="3" t="s">
        <v>44</v>
      </c>
      <c r="B7" s="3" t="s">
        <v>28</v>
      </c>
    </row>
    <row r="8" spans="1:3" x14ac:dyDescent="0.2">
      <c r="A8" s="1">
        <v>2024</v>
      </c>
      <c r="B8" s="18">
        <f>B2-B3</f>
        <v>2.7900000000000008E-2</v>
      </c>
    </row>
    <row r="9" spans="1:3" x14ac:dyDescent="0.2">
      <c r="A9" s="3">
        <v>2025</v>
      </c>
      <c r="B9" s="18">
        <f>C2-C3</f>
        <v>-1.5699999999999992E-2</v>
      </c>
    </row>
    <row r="11" spans="1:3" s="3" customFormat="1" x14ac:dyDescent="0.2">
      <c r="A11" s="3" t="s">
        <v>45</v>
      </c>
      <c r="B11" s="3" t="s">
        <v>28</v>
      </c>
    </row>
    <row r="12" spans="1:3" x14ac:dyDescent="0.2">
      <c r="A12" s="1">
        <v>2024</v>
      </c>
      <c r="B12" s="1">
        <f>B4/B2</f>
        <v>2.3340757238307348</v>
      </c>
    </row>
    <row r="13" spans="1:3" x14ac:dyDescent="0.2">
      <c r="A13" s="3">
        <v>2025</v>
      </c>
      <c r="B13" s="1">
        <f>C4/C2</f>
        <v>0.73004201680672265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4257-7307-6240-9C77-6D0D502FA895}">
  <sheetPr codeName="Sheet10"/>
  <dimension ref="A1:D2"/>
  <sheetViews>
    <sheetView zoomScale="84" workbookViewId="0">
      <selection activeCell="B6" sqref="B6"/>
    </sheetView>
  </sheetViews>
  <sheetFormatPr baseColWidth="10" defaultRowHeight="16" x14ac:dyDescent="0.2"/>
  <cols>
    <col min="1" max="1" width="24" style="1" customWidth="1"/>
    <col min="2" max="2" width="26.6640625" style="1" customWidth="1"/>
    <col min="3" max="3" width="31.1640625" style="1" customWidth="1"/>
    <col min="4" max="4" width="39.5" style="1" customWidth="1"/>
    <col min="5" max="16384" width="10.83203125" style="1"/>
  </cols>
  <sheetData>
    <row r="1" spans="1:4" s="3" customFormat="1" ht="18" x14ac:dyDescent="0.2">
      <c r="A1" s="23" t="s">
        <v>46</v>
      </c>
      <c r="B1" s="23" t="s">
        <v>47</v>
      </c>
      <c r="C1" s="23" t="s">
        <v>48</v>
      </c>
      <c r="D1" s="23" t="s">
        <v>49</v>
      </c>
    </row>
    <row r="2" spans="1:4" x14ac:dyDescent="0.2">
      <c r="A2" s="21">
        <f>'statement of income'!B4</f>
        <v>72229</v>
      </c>
      <c r="B2" s="22">
        <f>Table10[[#This Row],[2025]]</f>
        <v>0.14998130944634427</v>
      </c>
      <c r="C2" s="22">
        <f>'growth analysis '!B9</f>
        <v>-1.5699999999999992E-2</v>
      </c>
      <c r="D2" s="22">
        <f>'margin analysis '!D5</f>
        <v>7.2768555566323778E-2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statement of income</vt:lpstr>
      <vt:lpstr>revenues </vt:lpstr>
      <vt:lpstr>provisions </vt:lpstr>
      <vt:lpstr>expenses</vt:lpstr>
      <vt:lpstr>profit </vt:lpstr>
      <vt:lpstr>margin analysis </vt:lpstr>
      <vt:lpstr>Sheet2</vt:lpstr>
      <vt:lpstr>growth analysis </vt:lpstr>
      <vt:lpstr>kpi summary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Barbie Jindal</dc:creator>
  <cp:lastModifiedBy>Barbie Jindal</cp:lastModifiedBy>
  <dcterms:created xsi:type="dcterms:W3CDTF">2026-02-27T00:08:12Z</dcterms:created>
  <dcterms:modified xsi:type="dcterms:W3CDTF">2026-03-03T16:26:37Z</dcterms:modified>
</cp:coreProperties>
</file>